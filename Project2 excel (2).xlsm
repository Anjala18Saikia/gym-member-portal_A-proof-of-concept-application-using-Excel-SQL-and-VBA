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qmulprod-my.sharepoint.com/personal/bs241172_qmul_ac_uk/Documents/"/>
    </mc:Choice>
  </mc:AlternateContent>
  <xr:revisionPtr revIDLastSave="210" documentId="8_{A72960BF-F5BF-4229-BDB6-634C8908490A}" xr6:coauthVersionLast="47" xr6:coauthVersionMax="47" xr10:uidLastSave="{1076B62A-BF47-4BD9-B654-27416A1BF3A1}"/>
  <bookViews>
    <workbookView xWindow="-108" yWindow="-108" windowWidth="23256" windowHeight="12456" activeTab="2" xr2:uid="{7B1F9725-C389-47B5-8B17-4D789F068F06}"/>
  </bookViews>
  <sheets>
    <sheet name="MemberRecords" sheetId="1" r:id="rId1"/>
    <sheet name="GymRevenue" sheetId="5" r:id="rId2"/>
    <sheet name="MembershipForm" sheetId="4" r:id="rId3"/>
  </sheets>
  <definedNames>
    <definedName name="_xleta.DATE" hidden="1" xlm="1">#NAME?</definedName>
    <definedName name="_xleta.SEARCH" hidden="1" xlm="1">#NAME?</definedName>
    <definedName name="_xleta.T" hidden="1" xlm="1">#NAME?</definedName>
    <definedName name="_xleta.VLOOKUP" hidden="1" xlm="1">#NAME?</definedName>
    <definedName name="BMI">MembershipForm!#REF!</definedName>
    <definedName name="BMIRangee">MembershipForm!$M$31:$O$36</definedName>
    <definedName name="BMITable">MembershipForm!$A$39:$A$43</definedName>
    <definedName name="CLASS">MembershipForm!$D$38:$E$43</definedName>
    <definedName name="Gender">MembershipForm!$E$34:$E$35</definedName>
    <definedName name="Membership_Type">MembershipForm!$A$33:$B$36</definedName>
    <definedName name="Membership_Types">MembershipForm!$A$34:$A$36</definedName>
    <definedName name="MembershipTypes">MembershipForm!$A$34:$A$36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4" l="1"/>
  <c r="B23" i="4"/>
  <c r="H30" i="4" l="1"/>
  <c r="B25" i="4" l="1"/>
</calcChain>
</file>

<file path=xl/sharedStrings.xml><?xml version="1.0" encoding="utf-8"?>
<sst xmlns="http://schemas.openxmlformats.org/spreadsheetml/2006/main" count="181" uniqueCount="62">
  <si>
    <t>MemberID</t>
  </si>
  <si>
    <t>FullName</t>
  </si>
  <si>
    <t>Gender</t>
  </si>
  <si>
    <t>BMI</t>
  </si>
  <si>
    <t>MembershipJoinDate</t>
  </si>
  <si>
    <t>MembershipEndDate</t>
  </si>
  <si>
    <t>FitnessLevel</t>
  </si>
  <si>
    <t>Anjala S</t>
  </si>
  <si>
    <t>Female</t>
  </si>
  <si>
    <t>Healthy weight</t>
  </si>
  <si>
    <t>Tune Hugo</t>
  </si>
  <si>
    <t>Male</t>
  </si>
  <si>
    <t>Underweight</t>
  </si>
  <si>
    <t>Roger M</t>
  </si>
  <si>
    <t>Miley Cyrus</t>
  </si>
  <si>
    <t>Ron Ham</t>
  </si>
  <si>
    <t>Severely Obese</t>
  </si>
  <si>
    <t>Pooja Shah</t>
  </si>
  <si>
    <t>Abrar Farooq</t>
  </si>
  <si>
    <t>Overweight</t>
  </si>
  <si>
    <t>Chandan K</t>
  </si>
  <si>
    <t>Shivani</t>
  </si>
  <si>
    <t>Obese</t>
  </si>
  <si>
    <t>Rony</t>
  </si>
  <si>
    <t>Dolly Das</t>
  </si>
  <si>
    <t>Pranjal Gogoi</t>
  </si>
  <si>
    <t>Barbie Shah</t>
  </si>
  <si>
    <t>David S</t>
  </si>
  <si>
    <t>Raj Patel</t>
  </si>
  <si>
    <t>Peter Mon</t>
  </si>
  <si>
    <t>Joshua David</t>
  </si>
  <si>
    <t>Rashmi Borah</t>
  </si>
  <si>
    <t>Miley Dan</t>
  </si>
  <si>
    <t>Rock</t>
  </si>
  <si>
    <t>Valid</t>
  </si>
  <si>
    <t>Expired</t>
  </si>
  <si>
    <t>MembershipStatus</t>
  </si>
  <si>
    <t>MembershipType</t>
  </si>
  <si>
    <t>Price</t>
  </si>
  <si>
    <t>Silver</t>
  </si>
  <si>
    <t>Bronze</t>
  </si>
  <si>
    <t>Gold</t>
  </si>
  <si>
    <t>To Refresh the table contents please click below:</t>
  </si>
  <si>
    <t>Grand Total</t>
  </si>
  <si>
    <t>(All)</t>
  </si>
  <si>
    <t>Gym Revenue</t>
  </si>
  <si>
    <t>Membership Type</t>
  </si>
  <si>
    <t>ContactNumber</t>
  </si>
  <si>
    <t>Email</t>
  </si>
  <si>
    <t>Membership Form</t>
  </si>
  <si>
    <t>Fitness Level</t>
  </si>
  <si>
    <t>ClassID</t>
  </si>
  <si>
    <t>Severely obese</t>
  </si>
  <si>
    <t>BMIRange</t>
  </si>
  <si>
    <t>Weight_kg</t>
  </si>
  <si>
    <t>Height_cm</t>
  </si>
  <si>
    <t>May</t>
  </si>
  <si>
    <t>may.golden@gmail.com</t>
  </si>
  <si>
    <t>To submit the Membership Form Please Click below:</t>
  </si>
  <si>
    <t>To calculate MembershipEndDate please Click here:</t>
  </si>
  <si>
    <t>Status</t>
  </si>
  <si>
    <t>Type (MemberID or FullName) here and then click below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</si>
</sst>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€-2]\ #,##0.00"/>
    <numFmt numFmtId="165" formatCode="0.00;[Red]0.00"/>
    <numFmt numFmtId="166" formatCode="[$-14009]dd/mm/yyyy;@"/>
    <numFmt numFmtId="167" formatCode="dd/mm/yyyy;@"/>
    <numFmt numFmtId="168" formatCode="0;[Red]0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u/>
      <sz val="14"/>
      <color rgb="FFC00000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0"/>
      <name val="Times New Roman"/>
      <family val="1"/>
    </font>
    <font>
      <u/>
      <sz val="11"/>
      <color theme="10"/>
      <name val="Aptos Narrow"/>
      <family val="2"/>
      <scheme val="minor"/>
    </font>
    <font>
      <b/>
      <i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9" fontId="6" fillId="0" borderId="0" xfId="0" applyNumberFormat="1" applyFont="1" applyProtection="1">
      <protection locked="0"/>
    </xf>
    <xf numFmtId="49" fontId="4" fillId="0" borderId="0" xfId="0" applyNumberFormat="1" applyFont="1" applyProtection="1">
      <protection locked="0"/>
    </xf>
    <xf numFmtId="49" fontId="6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2" fontId="4" fillId="0" borderId="0" xfId="0" applyNumberFormat="1" applyFont="1" applyProtection="1">
      <protection locked="0"/>
    </xf>
    <xf numFmtId="1" fontId="6" fillId="0" borderId="0" xfId="0" applyNumberFormat="1" applyFont="1" applyProtection="1">
      <protection locked="0"/>
    </xf>
    <xf numFmtId="2" fontId="6" fillId="0" borderId="0" xfId="0" applyNumberFormat="1" applyFont="1" applyProtection="1">
      <protection locked="0"/>
    </xf>
    <xf numFmtId="14" fontId="4" fillId="0" borderId="0" xfId="0" applyNumberFormat="1" applyFont="1" applyProtection="1">
      <protection locked="0"/>
    </xf>
    <xf numFmtId="14" fontId="6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5" fontId="6" fillId="0" borderId="0" xfId="0" applyNumberFormat="1" applyFont="1" applyProtection="1">
      <protection locked="0"/>
    </xf>
    <xf numFmtId="0" fontId="6" fillId="0" borderId="0" xfId="0" applyFont="1"/>
    <xf numFmtId="164" fontId="6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Protection="1">
      <protection hidden="1"/>
    </xf>
    <xf numFmtId="0" fontId="8" fillId="0" borderId="0" xfId="0" applyFont="1" applyAlignment="1" applyProtection="1">
      <alignment vertical="center" wrapText="1"/>
      <protection hidden="1"/>
    </xf>
    <xf numFmtId="49" fontId="10" fillId="0" borderId="0" xfId="1" applyNumberFormat="1" applyProtection="1">
      <protection locked="0"/>
    </xf>
    <xf numFmtId="164" fontId="9" fillId="0" borderId="0" xfId="0" applyNumberFormat="1" applyFont="1" applyProtection="1">
      <protection hidden="1"/>
    </xf>
    <xf numFmtId="49" fontId="11" fillId="2" borderId="0" xfId="0" applyNumberFormat="1" applyFont="1" applyFill="1" applyProtection="1">
      <protection locked="0"/>
    </xf>
    <xf numFmtId="0" fontId="6" fillId="2" borderId="0" xfId="0" applyFont="1" applyFill="1" applyProtection="1">
      <protection locked="0"/>
    </xf>
    <xf numFmtId="49" fontId="6" fillId="2" borderId="0" xfId="0" applyNumberFormat="1" applyFont="1" applyFill="1" applyProtection="1">
      <protection locked="0"/>
    </xf>
    <xf numFmtId="0" fontId="11" fillId="2" borderId="0" xfId="0" applyFont="1" applyFill="1" applyProtection="1">
      <protection locked="0"/>
    </xf>
    <xf numFmtId="0" fontId="3" fillId="2" borderId="0" xfId="0" applyFont="1" applyFill="1"/>
    <xf numFmtId="0" fontId="3" fillId="3" borderId="0" xfId="0" applyFont="1" applyFill="1"/>
    <xf numFmtId="168" fontId="6" fillId="0" borderId="0" xfId="0" applyNumberFormat="1" applyFont="1"/>
  </cellXfs>
  <cellStyles count="2">
    <cellStyle name="Hyperlink" xfId="1" builtinId="8"/>
    <cellStyle name="Normal" xfId="0" builtinId="0"/>
  </cellStyles>
  <dxfs count="12">
    <dxf>
      <numFmt numFmtId="164" formatCode="[$€-2]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[Project2 excel (2).xlsm]GymRevenue!GymRevenue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GymRevenue!$B$3:$B$4</c:f>
              <c:strCache>
                <c:ptCount val="1"/>
                <c:pt idx="0">
                  <c:v>Expired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GymRevenue!$A$5:$A$28</c:f>
              <c:multiLvlStrCache>
                <c:ptCount val="20"/>
                <c:lvl>
                  <c:pt idx="0">
                    <c:v>Abrar Farooq</c:v>
                  </c:pt>
                  <c:pt idx="1">
                    <c:v>Anjala S</c:v>
                  </c:pt>
                  <c:pt idx="2">
                    <c:v>Barbie Shah</c:v>
                  </c:pt>
                  <c:pt idx="3">
                    <c:v>Miley Cyrus</c:v>
                  </c:pt>
                  <c:pt idx="4">
                    <c:v>Miley Dan</c:v>
                  </c:pt>
                  <c:pt idx="5">
                    <c:v>Peter Mon</c:v>
                  </c:pt>
                  <c:pt idx="6">
                    <c:v>Rony</c:v>
                  </c:pt>
                  <c:pt idx="7">
                    <c:v>Pooja Shah</c:v>
                  </c:pt>
                  <c:pt idx="8">
                    <c:v>Pranjal Gogoi</c:v>
                  </c:pt>
                  <c:pt idx="9">
                    <c:v>Raj Patel</c:v>
                  </c:pt>
                  <c:pt idx="10">
                    <c:v>Rashmi Borah</c:v>
                  </c:pt>
                  <c:pt idx="11">
                    <c:v>Roger M</c:v>
                  </c:pt>
                  <c:pt idx="12">
                    <c:v>Shivani</c:v>
                  </c:pt>
                  <c:pt idx="13">
                    <c:v>Chandan K</c:v>
                  </c:pt>
                  <c:pt idx="14">
                    <c:v>David S</c:v>
                  </c:pt>
                  <c:pt idx="15">
                    <c:v>Dolly Das</c:v>
                  </c:pt>
                  <c:pt idx="16">
                    <c:v>Joshua David</c:v>
                  </c:pt>
                  <c:pt idx="17">
                    <c:v>Rock</c:v>
                  </c:pt>
                  <c:pt idx="18">
                    <c:v>Ron Ham</c:v>
                  </c:pt>
                  <c:pt idx="19">
                    <c:v>Tune Hugo</c:v>
                  </c:pt>
                </c:lvl>
                <c:lvl>
                  <c:pt idx="0">
                    <c:v>Bronze</c:v>
                  </c:pt>
                  <c:pt idx="7">
                    <c:v>Gold</c:v>
                  </c:pt>
                  <c:pt idx="13">
                    <c:v>Silver</c:v>
                  </c:pt>
                </c:lvl>
              </c:multiLvlStrCache>
            </c:multiLvlStrRef>
          </c:cat>
          <c:val>
            <c:numRef>
              <c:f>GymRevenue!$B$5:$B$28</c:f>
              <c:numCache>
                <c:formatCode>[$€-2]\ #,##0.00</c:formatCode>
                <c:ptCount val="20"/>
                <c:pt idx="0">
                  <c:v>200</c:v>
                </c:pt>
                <c:pt idx="3">
                  <c:v>200</c:v>
                </c:pt>
                <c:pt idx="5">
                  <c:v>200</c:v>
                </c:pt>
                <c:pt idx="11">
                  <c:v>300</c:v>
                </c:pt>
                <c:pt idx="12">
                  <c:v>300</c:v>
                </c:pt>
                <c:pt idx="16">
                  <c:v>250</c:v>
                </c:pt>
                <c:pt idx="17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1D-4021-8F14-9ABFADC33B8C}"/>
            </c:ext>
          </c:extLst>
        </c:ser>
        <c:ser>
          <c:idx val="1"/>
          <c:order val="1"/>
          <c:tx>
            <c:strRef>
              <c:f>GymRevenue!$C$3:$C$4</c:f>
              <c:strCache>
                <c:ptCount val="1"/>
                <c:pt idx="0">
                  <c:v>Valid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GymRevenue!$A$5:$A$28</c:f>
              <c:multiLvlStrCache>
                <c:ptCount val="20"/>
                <c:lvl>
                  <c:pt idx="0">
                    <c:v>Abrar Farooq</c:v>
                  </c:pt>
                  <c:pt idx="1">
                    <c:v>Anjala S</c:v>
                  </c:pt>
                  <c:pt idx="2">
                    <c:v>Barbie Shah</c:v>
                  </c:pt>
                  <c:pt idx="3">
                    <c:v>Miley Cyrus</c:v>
                  </c:pt>
                  <c:pt idx="4">
                    <c:v>Miley Dan</c:v>
                  </c:pt>
                  <c:pt idx="5">
                    <c:v>Peter Mon</c:v>
                  </c:pt>
                  <c:pt idx="6">
                    <c:v>Rony</c:v>
                  </c:pt>
                  <c:pt idx="7">
                    <c:v>Pooja Shah</c:v>
                  </c:pt>
                  <c:pt idx="8">
                    <c:v>Pranjal Gogoi</c:v>
                  </c:pt>
                  <c:pt idx="9">
                    <c:v>Raj Patel</c:v>
                  </c:pt>
                  <c:pt idx="10">
                    <c:v>Rashmi Borah</c:v>
                  </c:pt>
                  <c:pt idx="11">
                    <c:v>Roger M</c:v>
                  </c:pt>
                  <c:pt idx="12">
                    <c:v>Shivani</c:v>
                  </c:pt>
                  <c:pt idx="13">
                    <c:v>Chandan K</c:v>
                  </c:pt>
                  <c:pt idx="14">
                    <c:v>David S</c:v>
                  </c:pt>
                  <c:pt idx="15">
                    <c:v>Dolly Das</c:v>
                  </c:pt>
                  <c:pt idx="16">
                    <c:v>Joshua David</c:v>
                  </c:pt>
                  <c:pt idx="17">
                    <c:v>Rock</c:v>
                  </c:pt>
                  <c:pt idx="18">
                    <c:v>Ron Ham</c:v>
                  </c:pt>
                  <c:pt idx="19">
                    <c:v>Tune Hugo</c:v>
                  </c:pt>
                </c:lvl>
                <c:lvl>
                  <c:pt idx="0">
                    <c:v>Bronze</c:v>
                  </c:pt>
                  <c:pt idx="7">
                    <c:v>Gold</c:v>
                  </c:pt>
                  <c:pt idx="13">
                    <c:v>Silver</c:v>
                  </c:pt>
                </c:lvl>
              </c:multiLvlStrCache>
            </c:multiLvlStrRef>
          </c:cat>
          <c:val>
            <c:numRef>
              <c:f>GymRevenue!$C$5:$C$28</c:f>
              <c:numCache>
                <c:formatCode>[$€-2]\ #,##0.00</c:formatCode>
                <c:ptCount val="20"/>
                <c:pt idx="1">
                  <c:v>200</c:v>
                </c:pt>
                <c:pt idx="2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8">
                  <c:v>250</c:v>
                </c:pt>
                <c:pt idx="19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1D-4021-8F14-9ABFADC33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9133984"/>
        <c:axId val="19453200"/>
      </c:barChart>
      <c:catAx>
        <c:axId val="134913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3200"/>
        <c:crosses val="autoZero"/>
        <c:auto val="1"/>
        <c:lblAlgn val="ctr"/>
        <c:lblOffset val="100"/>
        <c:noMultiLvlLbl val="0"/>
      </c:catAx>
      <c:valAx>
        <c:axId val="1945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€-2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13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5</xdr:row>
          <xdr:rowOff>30480</xdr:rowOff>
        </xdr:from>
        <xdr:to>
          <xdr:col>12</xdr:col>
          <xdr:colOff>571500</xdr:colOff>
          <xdr:row>7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205740</xdr:colOff>
          <xdr:row>17</xdr:row>
          <xdr:rowOff>38100</xdr:rowOff>
        </xdr:from>
        <xdr:to>
          <xdr:col>12</xdr:col>
          <xdr:colOff>571500</xdr:colOff>
          <xdr:row>19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4</xdr:row>
      <xdr:rowOff>22860</xdr:rowOff>
    </xdr:from>
    <xdr:to>
      <xdr:col>16</xdr:col>
      <xdr:colOff>198120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63D4D9-2866-30D5-0515-2952C7EBC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0.31881</cdr:x>
      <cdr:y>0.05321</cdr:y>
    </cdr:from>
    <cdr:to>
      <cdr:x>0.6961</cdr:x>
      <cdr:y>0.11376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A371282-5F54-26A8-28E6-F8D6D439C134}"/>
            </a:ext>
          </a:extLst>
        </cdr:cNvPr>
        <cdr:cNvSpPr txBox="1"/>
      </cdr:nvSpPr>
      <cdr:spPr>
        <a:xfrm xmlns:a="http://schemas.openxmlformats.org/drawingml/2006/main">
          <a:off x="2118360" y="220980"/>
          <a:ext cx="2506980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IN" sz="1600" b="1" u="sng" kern="1200">
              <a:solidFill>
                <a:schemeClr val="accent5"/>
              </a:solidFill>
            </a:rPr>
            <a:t>Revenue Distribution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</xdr:colOff>
          <xdr:row>9</xdr:row>
          <xdr:rowOff>53340</xdr:rowOff>
        </xdr:from>
        <xdr:to>
          <xdr:col>6</xdr:col>
          <xdr:colOff>236220</xdr:colOff>
          <xdr:row>11</xdr:row>
          <xdr:rowOff>175260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Calculate End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21</xdr:row>
          <xdr:rowOff>76200</xdr:rowOff>
        </xdr:from>
        <xdr:to>
          <xdr:col>6</xdr:col>
          <xdr:colOff>266700</xdr:colOff>
          <xdr:row>24</xdr:row>
          <xdr:rowOff>53340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Submit Membership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jala Saikia" refreshedDate="45681.34058611111" createdVersion="8" refreshedVersion="8" minRefreshableVersion="3" recordCount="20" xr:uid="{79FDFB0D-21C8-42AD-9534-180B14A54F63}">
  <cacheSource type="worksheet">
    <worksheetSource name="MemberRecords"/>
  </cacheSource>
  <cacheFields count="8">
    <cacheField name="MemberID" numFmtId="0">
      <sharedItems containsSemiMixedTypes="0" containsString="0" containsNumber="1" containsInteger="1" minValue="1" maxValue="20"/>
    </cacheField>
    <cacheField name="FullName" numFmtId="0">
      <sharedItems count="20">
        <s v="Anjala S"/>
        <s v="Tune Hugo"/>
        <s v="Roger M"/>
        <s v="Miley Cyrus"/>
        <s v="Ron Ham"/>
        <s v="Pooja Shah"/>
        <s v="Abrar Farooq"/>
        <s v="Chandan K"/>
        <s v="Shivani"/>
        <s v="Rony"/>
        <s v="Dolly Das"/>
        <s v="Pranjal Gogoi"/>
        <s v="Barbie Shah"/>
        <s v="David S"/>
        <s v="Raj Patel"/>
        <s v="Peter Mon"/>
        <s v="Joshua David"/>
        <s v="Rashmi Borah"/>
        <s v="Miley Dan"/>
        <s v="Rock"/>
      </sharedItems>
    </cacheField>
    <cacheField name="Gender" numFmtId="0">
      <sharedItems count="2">
        <s v="Female"/>
        <s v="Male"/>
      </sharedItems>
    </cacheField>
    <cacheField name="BMI" numFmtId="0">
      <sharedItems containsSemiMixedTypes="0" containsString="0" containsNumber="1" minValue="9.83" maxValue="50"/>
    </cacheField>
    <cacheField name="FitnessLevel" numFmtId="0">
      <sharedItems/>
    </cacheField>
    <cacheField name="MembershipStatus" numFmtId="0">
      <sharedItems count="2">
        <s v="Valid"/>
        <s v="Expired"/>
      </sharedItems>
    </cacheField>
    <cacheField name="MembershipType" numFmtId="0">
      <sharedItems count="3">
        <s v="Bronze"/>
        <s v="Silver"/>
        <s v="Gold"/>
      </sharedItems>
    </cacheField>
    <cacheField name="Price" numFmtId="164">
      <sharedItems containsSemiMixedTypes="0" containsString="0" containsNumber="1" containsInteger="1" minValue="20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x v="0"/>
    <n v="24.97"/>
    <s v="Healthy weight"/>
    <x v="0"/>
    <x v="0"/>
    <n v="200"/>
  </r>
  <r>
    <n v="2"/>
    <x v="1"/>
    <x v="1"/>
    <n v="18.079999999999998"/>
    <s v="Underweight"/>
    <x v="0"/>
    <x v="1"/>
    <n v="250"/>
  </r>
  <r>
    <n v="3"/>
    <x v="2"/>
    <x v="0"/>
    <n v="20.059999999999999"/>
    <s v="Healthy weight"/>
    <x v="1"/>
    <x v="2"/>
    <n v="300"/>
  </r>
  <r>
    <n v="4"/>
    <x v="3"/>
    <x v="0"/>
    <n v="18.61"/>
    <s v="Healthy weight"/>
    <x v="1"/>
    <x v="0"/>
    <n v="200"/>
  </r>
  <r>
    <n v="5"/>
    <x v="4"/>
    <x v="0"/>
    <n v="50"/>
    <s v="Severely Obese"/>
    <x v="0"/>
    <x v="1"/>
    <n v="250"/>
  </r>
  <r>
    <n v="6"/>
    <x v="5"/>
    <x v="1"/>
    <n v="42.24"/>
    <s v="Severely Obese"/>
    <x v="0"/>
    <x v="2"/>
    <n v="300"/>
  </r>
  <r>
    <n v="7"/>
    <x v="6"/>
    <x v="1"/>
    <n v="27.89"/>
    <s v="Overweight"/>
    <x v="1"/>
    <x v="0"/>
    <n v="200"/>
  </r>
  <r>
    <n v="8"/>
    <x v="7"/>
    <x v="1"/>
    <n v="15.68"/>
    <s v="Underweight"/>
    <x v="0"/>
    <x v="1"/>
    <n v="250"/>
  </r>
  <r>
    <n v="9"/>
    <x v="8"/>
    <x v="0"/>
    <n v="33.299999999999997"/>
    <s v="Obese"/>
    <x v="1"/>
    <x v="2"/>
    <n v="300"/>
  </r>
  <r>
    <n v="10"/>
    <x v="9"/>
    <x v="0"/>
    <n v="20.9"/>
    <s v="Healthy weight"/>
    <x v="0"/>
    <x v="0"/>
    <n v="200"/>
  </r>
  <r>
    <n v="11"/>
    <x v="10"/>
    <x v="1"/>
    <n v="14.52"/>
    <s v="Underweight"/>
    <x v="0"/>
    <x v="1"/>
    <n v="250"/>
  </r>
  <r>
    <n v="12"/>
    <x v="11"/>
    <x v="0"/>
    <n v="27.55"/>
    <s v="Overweight"/>
    <x v="0"/>
    <x v="2"/>
    <n v="300"/>
  </r>
  <r>
    <n v="13"/>
    <x v="12"/>
    <x v="1"/>
    <n v="24.01"/>
    <s v="Healthy weight"/>
    <x v="0"/>
    <x v="0"/>
    <n v="200"/>
  </r>
  <r>
    <n v="14"/>
    <x v="13"/>
    <x v="1"/>
    <n v="10.83"/>
    <s v="Underweight"/>
    <x v="0"/>
    <x v="1"/>
    <n v="250"/>
  </r>
  <r>
    <n v="15"/>
    <x v="14"/>
    <x v="1"/>
    <n v="13.8"/>
    <s v="Underweight"/>
    <x v="0"/>
    <x v="2"/>
    <n v="300"/>
  </r>
  <r>
    <n v="16"/>
    <x v="15"/>
    <x v="1"/>
    <n v="14.15"/>
    <s v="Underweight"/>
    <x v="1"/>
    <x v="0"/>
    <n v="200"/>
  </r>
  <r>
    <n v="17"/>
    <x v="16"/>
    <x v="0"/>
    <n v="14.85"/>
    <s v="Underweight"/>
    <x v="1"/>
    <x v="1"/>
    <n v="250"/>
  </r>
  <r>
    <n v="18"/>
    <x v="17"/>
    <x v="0"/>
    <n v="9.83"/>
    <s v="Underweight"/>
    <x v="0"/>
    <x v="2"/>
    <n v="300"/>
  </r>
  <r>
    <n v="19"/>
    <x v="18"/>
    <x v="0"/>
    <n v="30.56"/>
    <s v="Obese"/>
    <x v="0"/>
    <x v="0"/>
    <n v="200"/>
  </r>
  <r>
    <n v="20"/>
    <x v="19"/>
    <x v="1"/>
    <n v="27.06"/>
    <s v="Overweight"/>
    <x v="1"/>
    <x v="1"/>
    <n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D8FB0F-E4FF-48EE-8CA6-1B4CBCD2F9C7}" name="GymRevenu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 rowHeaderCaption="MembershipType" colHeaderCaption="Status">
  <location ref="A3:D28" firstHeaderRow="1" firstDataRow="2" firstDataCol="1" rowPageCount="1" colPageCount="1"/>
  <pivotFields count="8">
    <pivotField showAll="0"/>
    <pivotField axis="axisRow" showAll="0">
      <items count="21">
        <item x="6"/>
        <item x="0"/>
        <item x="12"/>
        <item x="7"/>
        <item x="13"/>
        <item x="10"/>
        <item x="16"/>
        <item x="3"/>
        <item x="18"/>
        <item x="15"/>
        <item x="5"/>
        <item x="11"/>
        <item x="14"/>
        <item x="17"/>
        <item x="19"/>
        <item x="2"/>
        <item x="4"/>
        <item x="9"/>
        <item x="8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Col" showAll="0">
      <items count="3"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dataField="1" numFmtId="164" showAll="0"/>
  </pivotFields>
  <rowFields count="2">
    <field x="6"/>
    <field x="1"/>
  </rowFields>
  <rowItems count="24">
    <i>
      <x/>
    </i>
    <i r="1">
      <x/>
    </i>
    <i r="1">
      <x v="1"/>
    </i>
    <i r="1">
      <x v="2"/>
    </i>
    <i r="1">
      <x v="7"/>
    </i>
    <i r="1">
      <x v="8"/>
    </i>
    <i r="1">
      <x v="9"/>
    </i>
    <i r="1">
      <x v="17"/>
    </i>
    <i>
      <x v="1"/>
    </i>
    <i r="1">
      <x v="10"/>
    </i>
    <i r="1">
      <x v="11"/>
    </i>
    <i r="1">
      <x v="12"/>
    </i>
    <i r="1">
      <x v="13"/>
    </i>
    <i r="1">
      <x v="15"/>
    </i>
    <i r="1">
      <x v="18"/>
    </i>
    <i>
      <x v="2"/>
    </i>
    <i r="1">
      <x v="3"/>
    </i>
    <i r="1">
      <x v="4"/>
    </i>
    <i r="1">
      <x v="5"/>
    </i>
    <i r="1">
      <x v="6"/>
    </i>
    <i r="1">
      <x v="14"/>
    </i>
    <i r="1">
      <x v="16"/>
    </i>
    <i r="1">
      <x v="19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2" hier="-1"/>
  </pageFields>
  <dataFields count="1">
    <dataField name="Gym Revenue" fld="7" baseField="0" baseItem="0" numFmtId="164"/>
  </dataFields>
  <chartFormats count="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E6CBF-B705-4410-A37B-E98368D367A5}" name="MemberRecords" displayName="MemberRecords" ref="A1:H21" totalsRowShown="0" headerRowDxfId="9" dataDxfId="8">
  <autoFilter ref="A1:H21" xr:uid="{7B8E6CBF-B705-4410-A37B-E98368D367A5}"/>
  <tableColumns count="8">
    <tableColumn id="1" xr3:uid="{B684659D-F67E-4FCF-A844-7450FB1E17DB}" name="MemberID" dataDxfId="7"/>
    <tableColumn id="2" xr3:uid="{CABF8224-1BB6-4FB4-91A8-2ED83850A3BB}" name="FullName" dataDxfId="6"/>
    <tableColumn id="3" xr3:uid="{2B809727-760F-4FCA-8B17-A51D8283FF36}" name="Gender" dataDxfId="5"/>
    <tableColumn id="4" xr3:uid="{088B70A8-EC5C-4F8A-9724-3F8DA59E940C}" name="BMI" dataDxfId="4"/>
    <tableColumn id="5" xr3:uid="{56ECB76A-2279-4BEB-9F3F-7E65A4A84B7D}" name="FitnessLevel" dataDxfId="3"/>
    <tableColumn id="6" xr3:uid="{3B23D532-1DF7-4918-B1AC-E660B991ABF2}" name="MembershipStatus" dataDxfId="2"/>
    <tableColumn id="7" xr3:uid="{FD2D95DC-BD32-46D3-8D7C-787F867B3F9C}" name="MembershipType" dataDxfId="1"/>
    <tableColumn id="8" xr3:uid="{1632D6F8-4021-4465-8E6F-D0DEFD3BC478}" name="Price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hyperlink" Target="mailto:may.golden@gmail.com" TargetMode="Externa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79B2-3497-4B2E-8FB8-D5B419960352}">
  <sheetPr codeName="Sheet1"/>
  <dimension ref="A1:P21"/>
  <sheetViews>
    <sheetView workbookViewId="0">
      <selection activeCell="R13" sqref="R13"/>
    </sheetView>
  </sheetViews>
  <sheetFormatPr defaultRowHeight="14.4" x14ac:dyDescent="0.3"/>
  <cols>
    <col min="1" max="1" width="11.88671875" bestFit="1" customWidth="1"/>
    <col min="2" max="2" width="12.109375" bestFit="1" customWidth="1"/>
    <col min="3" max="3" width="9.33203125" bestFit="1" customWidth="1"/>
    <col min="4" max="4" width="6.33203125" bestFit="1" customWidth="1"/>
    <col min="5" max="5" width="13.5546875" bestFit="1" customWidth="1"/>
    <col min="6" max="6" width="19.109375" bestFit="1" customWidth="1"/>
    <col min="7" max="7" width="17.6640625" bestFit="1" customWidth="1"/>
    <col min="8" max="8" width="7.88671875" style="3" bestFit="1" customWidth="1"/>
    <col min="9" max="9" width="7.88671875" style="3" customWidth="1"/>
    <col min="10" max="10" width="20.33203125" customWidth="1"/>
    <col min="15" max="15" width="12.44140625" customWidth="1"/>
  </cols>
  <sheetData>
    <row r="1" spans="1:15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6</v>
      </c>
      <c r="F1" s="1" t="s">
        <v>36</v>
      </c>
      <c r="G1" s="1" t="s">
        <v>37</v>
      </c>
      <c r="H1" s="2" t="s">
        <v>38</v>
      </c>
      <c r="I1" s="2"/>
    </row>
    <row r="2" spans="1:15" x14ac:dyDescent="0.3">
      <c r="A2">
        <v>1</v>
      </c>
      <c r="B2" t="s">
        <v>7</v>
      </c>
      <c r="C2" t="s">
        <v>8</v>
      </c>
      <c r="D2">
        <v>24.97</v>
      </c>
      <c r="E2" t="s">
        <v>9</v>
      </c>
      <c r="F2" t="s">
        <v>34</v>
      </c>
      <c r="G2" t="s">
        <v>40</v>
      </c>
      <c r="H2" s="3">
        <v>200</v>
      </c>
    </row>
    <row r="3" spans="1:15" x14ac:dyDescent="0.3">
      <c r="A3">
        <v>2</v>
      </c>
      <c r="B3" t="s">
        <v>10</v>
      </c>
      <c r="C3" t="s">
        <v>11</v>
      </c>
      <c r="D3">
        <v>18.079999999999998</v>
      </c>
      <c r="E3" t="s">
        <v>12</v>
      </c>
      <c r="F3" t="s">
        <v>34</v>
      </c>
      <c r="G3" t="s">
        <v>39</v>
      </c>
      <c r="H3" s="3">
        <v>250</v>
      </c>
    </row>
    <row r="4" spans="1:15" x14ac:dyDescent="0.3">
      <c r="A4">
        <v>3</v>
      </c>
      <c r="B4" t="s">
        <v>13</v>
      </c>
      <c r="C4" t="s">
        <v>8</v>
      </c>
      <c r="D4">
        <v>20.059999999999999</v>
      </c>
      <c r="E4" t="s">
        <v>9</v>
      </c>
      <c r="F4" t="s">
        <v>35</v>
      </c>
      <c r="G4" t="s">
        <v>41</v>
      </c>
      <c r="H4" s="3">
        <v>300</v>
      </c>
    </row>
    <row r="5" spans="1:15" x14ac:dyDescent="0.3">
      <c r="A5">
        <v>4</v>
      </c>
      <c r="B5" t="s">
        <v>14</v>
      </c>
      <c r="C5" t="s">
        <v>8</v>
      </c>
      <c r="D5">
        <v>18.61</v>
      </c>
      <c r="E5" t="s">
        <v>9</v>
      </c>
      <c r="F5" t="s">
        <v>35</v>
      </c>
      <c r="G5" t="s">
        <v>40</v>
      </c>
      <c r="H5" s="3">
        <v>200</v>
      </c>
      <c r="K5" s="33" t="s">
        <v>42</v>
      </c>
      <c r="L5" s="33"/>
      <c r="M5" s="33"/>
      <c r="N5" s="33"/>
      <c r="O5" s="33"/>
    </row>
    <row r="6" spans="1:15" x14ac:dyDescent="0.3">
      <c r="A6">
        <v>5</v>
      </c>
      <c r="B6" t="s">
        <v>15</v>
      </c>
      <c r="C6" t="s">
        <v>8</v>
      </c>
      <c r="D6">
        <v>50</v>
      </c>
      <c r="E6" t="s">
        <v>16</v>
      </c>
      <c r="F6" t="s">
        <v>34</v>
      </c>
      <c r="G6" t="s">
        <v>39</v>
      </c>
      <c r="H6" s="3">
        <v>250</v>
      </c>
    </row>
    <row r="7" spans="1:15" x14ac:dyDescent="0.3">
      <c r="A7">
        <v>6</v>
      </c>
      <c r="B7" t="s">
        <v>17</v>
      </c>
      <c r="C7" t="s">
        <v>11</v>
      </c>
      <c r="D7">
        <v>42.24</v>
      </c>
      <c r="E7" t="s">
        <v>16</v>
      </c>
      <c r="F7" t="s">
        <v>34</v>
      </c>
      <c r="G7" t="s">
        <v>41</v>
      </c>
      <c r="H7" s="3">
        <v>300</v>
      </c>
    </row>
    <row r="8" spans="1:15" x14ac:dyDescent="0.3">
      <c r="A8">
        <v>7</v>
      </c>
      <c r="B8" t="s">
        <v>18</v>
      </c>
      <c r="C8" t="s">
        <v>11</v>
      </c>
      <c r="D8">
        <v>27.89</v>
      </c>
      <c r="E8" t="s">
        <v>19</v>
      </c>
      <c r="F8" t="s">
        <v>35</v>
      </c>
      <c r="G8" t="s">
        <v>40</v>
      </c>
      <c r="H8" s="3">
        <v>200</v>
      </c>
    </row>
    <row r="9" spans="1:15" x14ac:dyDescent="0.3">
      <c r="A9">
        <v>8</v>
      </c>
      <c r="B9" t="s">
        <v>20</v>
      </c>
      <c r="C9" t="s">
        <v>11</v>
      </c>
      <c r="D9">
        <v>15.68</v>
      </c>
      <c r="E9" t="s">
        <v>12</v>
      </c>
      <c r="F9" t="s">
        <v>34</v>
      </c>
      <c r="G9" t="s">
        <v>39</v>
      </c>
      <c r="H9" s="3">
        <v>250</v>
      </c>
    </row>
    <row r="10" spans="1:15" x14ac:dyDescent="0.3">
      <c r="A10">
        <v>9</v>
      </c>
      <c r="B10" t="s">
        <v>21</v>
      </c>
      <c r="C10" t="s">
        <v>8</v>
      </c>
      <c r="D10">
        <v>33.299999999999997</v>
      </c>
      <c r="E10" t="s">
        <v>22</v>
      </c>
      <c r="F10" t="s">
        <v>35</v>
      </c>
      <c r="G10" t="s">
        <v>41</v>
      </c>
      <c r="H10" s="3">
        <v>300</v>
      </c>
    </row>
    <row r="11" spans="1:15" x14ac:dyDescent="0.3">
      <c r="A11">
        <v>10</v>
      </c>
      <c r="B11" t="s">
        <v>23</v>
      </c>
      <c r="C11" t="s">
        <v>8</v>
      </c>
      <c r="D11">
        <v>20.9</v>
      </c>
      <c r="E11" t="s">
        <v>9</v>
      </c>
      <c r="F11" t="s">
        <v>34</v>
      </c>
      <c r="G11" t="s">
        <v>40</v>
      </c>
      <c r="H11" s="3">
        <v>200</v>
      </c>
    </row>
    <row r="12" spans="1:15" x14ac:dyDescent="0.3">
      <c r="A12">
        <v>11</v>
      </c>
      <c r="B12" t="s">
        <v>24</v>
      </c>
      <c r="C12" t="s">
        <v>11</v>
      </c>
      <c r="D12">
        <v>14.52</v>
      </c>
      <c r="E12" t="s">
        <v>12</v>
      </c>
      <c r="F12" t="s">
        <v>34</v>
      </c>
      <c r="G12" t="s">
        <v>39</v>
      </c>
      <c r="H12" s="3">
        <v>250</v>
      </c>
    </row>
    <row r="13" spans="1:15" x14ac:dyDescent="0.3">
      <c r="A13">
        <v>12</v>
      </c>
      <c r="B13" t="s">
        <v>25</v>
      </c>
      <c r="C13" t="s">
        <v>8</v>
      </c>
      <c r="D13">
        <v>27.55</v>
      </c>
      <c r="E13" t="s">
        <v>19</v>
      </c>
      <c r="F13" t="s">
        <v>34</v>
      </c>
      <c r="G13" t="s">
        <v>41</v>
      </c>
      <c r="H13" s="3">
        <v>300</v>
      </c>
    </row>
    <row r="14" spans="1:15" x14ac:dyDescent="0.3">
      <c r="A14">
        <v>13</v>
      </c>
      <c r="B14" t="s">
        <v>26</v>
      </c>
      <c r="C14" t="s">
        <v>11</v>
      </c>
      <c r="D14">
        <v>24.01</v>
      </c>
      <c r="E14" t="s">
        <v>9</v>
      </c>
      <c r="F14" t="s">
        <v>34</v>
      </c>
      <c r="G14" t="s">
        <v>40</v>
      </c>
      <c r="H14" s="3">
        <v>200</v>
      </c>
    </row>
    <row r="15" spans="1:15" x14ac:dyDescent="0.3">
      <c r="A15">
        <v>14</v>
      </c>
      <c r="B15" t="s">
        <v>27</v>
      </c>
      <c r="C15" t="s">
        <v>11</v>
      </c>
      <c r="D15">
        <v>10.83</v>
      </c>
      <c r="E15" t="s">
        <v>12</v>
      </c>
      <c r="F15" t="s">
        <v>34</v>
      </c>
      <c r="G15" t="s">
        <v>39</v>
      </c>
      <c r="H15" s="3">
        <v>250</v>
      </c>
    </row>
    <row r="16" spans="1:15" x14ac:dyDescent="0.3">
      <c r="A16">
        <v>15</v>
      </c>
      <c r="B16" t="s">
        <v>28</v>
      </c>
      <c r="C16" t="s">
        <v>11</v>
      </c>
      <c r="D16">
        <v>13.8</v>
      </c>
      <c r="E16" t="s">
        <v>12</v>
      </c>
      <c r="F16" t="s">
        <v>34</v>
      </c>
      <c r="G16" t="s">
        <v>41</v>
      </c>
      <c r="H16" s="3">
        <v>300</v>
      </c>
    </row>
    <row r="17" spans="1:16" x14ac:dyDescent="0.3">
      <c r="A17">
        <v>16</v>
      </c>
      <c r="B17" t="s">
        <v>29</v>
      </c>
      <c r="C17" t="s">
        <v>11</v>
      </c>
      <c r="D17">
        <v>14.15</v>
      </c>
      <c r="E17" t="s">
        <v>12</v>
      </c>
      <c r="F17" t="s">
        <v>35</v>
      </c>
      <c r="G17" t="s">
        <v>40</v>
      </c>
      <c r="H17" s="3">
        <v>200</v>
      </c>
      <c r="K17" s="33" t="s">
        <v>61</v>
      </c>
      <c r="L17" s="33"/>
      <c r="M17" s="33"/>
      <c r="N17" s="33"/>
      <c r="O17" s="33"/>
      <c r="P17" s="34"/>
    </row>
    <row r="18" spans="1:16" x14ac:dyDescent="0.3">
      <c r="A18">
        <v>17</v>
      </c>
      <c r="B18" t="s">
        <v>30</v>
      </c>
      <c r="C18" t="s">
        <v>8</v>
      </c>
      <c r="D18">
        <v>14.85</v>
      </c>
      <c r="E18" t="s">
        <v>12</v>
      </c>
      <c r="F18" t="s">
        <v>35</v>
      </c>
      <c r="G18" t="s">
        <v>39</v>
      </c>
      <c r="H18" s="3">
        <v>250</v>
      </c>
    </row>
    <row r="19" spans="1:16" x14ac:dyDescent="0.3">
      <c r="A19">
        <v>18</v>
      </c>
      <c r="B19" t="s">
        <v>31</v>
      </c>
      <c r="C19" t="s">
        <v>8</v>
      </c>
      <c r="D19">
        <v>9.83</v>
      </c>
      <c r="E19" t="s">
        <v>12</v>
      </c>
      <c r="F19" t="s">
        <v>34</v>
      </c>
      <c r="G19" t="s">
        <v>41</v>
      </c>
      <c r="H19" s="3">
        <v>300</v>
      </c>
    </row>
    <row r="20" spans="1:16" x14ac:dyDescent="0.3">
      <c r="A20">
        <v>19</v>
      </c>
      <c r="B20" t="s">
        <v>32</v>
      </c>
      <c r="C20" t="s">
        <v>8</v>
      </c>
      <c r="D20">
        <v>30.56</v>
      </c>
      <c r="E20" t="s">
        <v>22</v>
      </c>
      <c r="F20" t="s">
        <v>34</v>
      </c>
      <c r="G20" t="s">
        <v>40</v>
      </c>
      <c r="H20" s="3">
        <v>200</v>
      </c>
    </row>
    <row r="21" spans="1:16" x14ac:dyDescent="0.3">
      <c r="A21">
        <v>20</v>
      </c>
      <c r="B21" t="s">
        <v>33</v>
      </c>
      <c r="C21" t="s">
        <v>11</v>
      </c>
      <c r="D21">
        <v>27.06</v>
      </c>
      <c r="E21" t="s">
        <v>19</v>
      </c>
      <c r="F21" t="s">
        <v>35</v>
      </c>
      <c r="G21" t="s">
        <v>39</v>
      </c>
      <c r="H21" s="3">
        <v>250</v>
      </c>
    </row>
  </sheetData>
  <conditionalFormatting sqref="A1:I21">
    <cfRule type="containsText" dxfId="11" priority="1" operator="containsText" text="Expired">
      <formula>NOT(ISERROR(SEARCH("Expired",A1)))</formula>
    </cfRule>
    <cfRule type="containsText" dxfId="10" priority="2" operator="containsText" text="Valid">
      <formula>NOT(ISERROR(SEARCH("Valid",A1)))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ecords_Simplified">
                <anchor moveWithCells="1" sizeWithCells="1">
                  <from>
                    <xdr:col>11</xdr:col>
                    <xdr:colOff>190500</xdr:colOff>
                    <xdr:row>5</xdr:row>
                    <xdr:rowOff>30480</xdr:rowOff>
                  </from>
                  <to>
                    <xdr:col>12</xdr:col>
                    <xdr:colOff>571500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archRecords">
                <anchor moveWithCells="1" sizeWithCells="1">
                  <from>
                    <xdr:col>11</xdr:col>
                    <xdr:colOff>205740</xdr:colOff>
                    <xdr:row>17</xdr:row>
                    <xdr:rowOff>38100</xdr:rowOff>
                  </from>
                  <to>
                    <xdr:col>12</xdr:col>
                    <xdr:colOff>571500</xdr:colOff>
                    <xdr:row>19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9C8E-F643-4BE0-BE2F-9208EA4FCF3D}">
  <sheetPr codeName="Sheet2"/>
  <dimension ref="A1:D28"/>
  <sheetViews>
    <sheetView zoomScale="92" workbookViewId="0">
      <selection activeCell="E9" sqref="E9"/>
    </sheetView>
  </sheetViews>
  <sheetFormatPr defaultRowHeight="14.4" x14ac:dyDescent="0.3"/>
  <cols>
    <col min="1" max="1" width="18.44140625" bestFit="1" customWidth="1"/>
    <col min="2" max="3" width="10.21875" bestFit="1" customWidth="1"/>
    <col min="4" max="4" width="10.88671875" bestFit="1" customWidth="1"/>
  </cols>
  <sheetData>
    <row r="1" spans="1:4" x14ac:dyDescent="0.3">
      <c r="A1" s="4" t="s">
        <v>2</v>
      </c>
      <c r="B1" t="s">
        <v>44</v>
      </c>
    </row>
    <row r="3" spans="1:4" x14ac:dyDescent="0.3">
      <c r="A3" s="4" t="s">
        <v>45</v>
      </c>
      <c r="B3" s="4" t="s">
        <v>60</v>
      </c>
    </row>
    <row r="4" spans="1:4" x14ac:dyDescent="0.3">
      <c r="A4" s="4" t="s">
        <v>37</v>
      </c>
      <c r="B4" t="s">
        <v>35</v>
      </c>
      <c r="C4" t="s">
        <v>34</v>
      </c>
      <c r="D4" t="s">
        <v>43</v>
      </c>
    </row>
    <row r="5" spans="1:4" x14ac:dyDescent="0.3">
      <c r="A5" s="5" t="s">
        <v>40</v>
      </c>
      <c r="B5" s="3">
        <v>600</v>
      </c>
      <c r="C5" s="3">
        <v>800</v>
      </c>
      <c r="D5" s="3">
        <v>1400</v>
      </c>
    </row>
    <row r="6" spans="1:4" x14ac:dyDescent="0.3">
      <c r="A6" s="6" t="s">
        <v>18</v>
      </c>
      <c r="B6" s="3">
        <v>200</v>
      </c>
      <c r="C6" s="3"/>
      <c r="D6" s="3">
        <v>200</v>
      </c>
    </row>
    <row r="7" spans="1:4" x14ac:dyDescent="0.3">
      <c r="A7" s="6" t="s">
        <v>7</v>
      </c>
      <c r="B7" s="3"/>
      <c r="C7" s="3">
        <v>200</v>
      </c>
      <c r="D7" s="3">
        <v>200</v>
      </c>
    </row>
    <row r="8" spans="1:4" x14ac:dyDescent="0.3">
      <c r="A8" s="6" t="s">
        <v>26</v>
      </c>
      <c r="B8" s="3"/>
      <c r="C8" s="3">
        <v>200</v>
      </c>
      <c r="D8" s="3">
        <v>200</v>
      </c>
    </row>
    <row r="9" spans="1:4" x14ac:dyDescent="0.3">
      <c r="A9" s="6" t="s">
        <v>14</v>
      </c>
      <c r="B9" s="3">
        <v>200</v>
      </c>
      <c r="C9" s="3"/>
      <c r="D9" s="3">
        <v>200</v>
      </c>
    </row>
    <row r="10" spans="1:4" x14ac:dyDescent="0.3">
      <c r="A10" s="6" t="s">
        <v>32</v>
      </c>
      <c r="B10" s="3"/>
      <c r="C10" s="3">
        <v>200</v>
      </c>
      <c r="D10" s="3">
        <v>200</v>
      </c>
    </row>
    <row r="11" spans="1:4" x14ac:dyDescent="0.3">
      <c r="A11" s="6" t="s">
        <v>29</v>
      </c>
      <c r="B11" s="3">
        <v>200</v>
      </c>
      <c r="C11" s="3"/>
      <c r="D11" s="3">
        <v>200</v>
      </c>
    </row>
    <row r="12" spans="1:4" x14ac:dyDescent="0.3">
      <c r="A12" s="6" t="s">
        <v>23</v>
      </c>
      <c r="B12" s="3"/>
      <c r="C12" s="3">
        <v>200</v>
      </c>
      <c r="D12" s="3">
        <v>200</v>
      </c>
    </row>
    <row r="13" spans="1:4" x14ac:dyDescent="0.3">
      <c r="A13" s="5" t="s">
        <v>41</v>
      </c>
      <c r="B13" s="3">
        <v>600</v>
      </c>
      <c r="C13" s="3">
        <v>1200</v>
      </c>
      <c r="D13" s="3">
        <v>1800</v>
      </c>
    </row>
    <row r="14" spans="1:4" x14ac:dyDescent="0.3">
      <c r="A14" s="6" t="s">
        <v>17</v>
      </c>
      <c r="B14" s="3"/>
      <c r="C14" s="3">
        <v>300</v>
      </c>
      <c r="D14" s="3">
        <v>300</v>
      </c>
    </row>
    <row r="15" spans="1:4" x14ac:dyDescent="0.3">
      <c r="A15" s="6" t="s">
        <v>25</v>
      </c>
      <c r="B15" s="3"/>
      <c r="C15" s="3">
        <v>300</v>
      </c>
      <c r="D15" s="3">
        <v>300</v>
      </c>
    </row>
    <row r="16" spans="1:4" x14ac:dyDescent="0.3">
      <c r="A16" s="6" t="s">
        <v>28</v>
      </c>
      <c r="B16" s="3"/>
      <c r="C16" s="3">
        <v>300</v>
      </c>
      <c r="D16" s="3">
        <v>300</v>
      </c>
    </row>
    <row r="17" spans="1:4" x14ac:dyDescent="0.3">
      <c r="A17" s="6" t="s">
        <v>31</v>
      </c>
      <c r="B17" s="3"/>
      <c r="C17" s="3">
        <v>300</v>
      </c>
      <c r="D17" s="3">
        <v>300</v>
      </c>
    </row>
    <row r="18" spans="1:4" x14ac:dyDescent="0.3">
      <c r="A18" s="6" t="s">
        <v>13</v>
      </c>
      <c r="B18" s="3">
        <v>300</v>
      </c>
      <c r="C18" s="3"/>
      <c r="D18" s="3">
        <v>300</v>
      </c>
    </row>
    <row r="19" spans="1:4" x14ac:dyDescent="0.3">
      <c r="A19" s="6" t="s">
        <v>21</v>
      </c>
      <c r="B19" s="3">
        <v>300</v>
      </c>
      <c r="C19" s="3"/>
      <c r="D19" s="3">
        <v>300</v>
      </c>
    </row>
    <row r="20" spans="1:4" x14ac:dyDescent="0.3">
      <c r="A20" s="5" t="s">
        <v>39</v>
      </c>
      <c r="B20" s="3">
        <v>500</v>
      </c>
      <c r="C20" s="3">
        <v>1250</v>
      </c>
      <c r="D20" s="3">
        <v>1750</v>
      </c>
    </row>
    <row r="21" spans="1:4" x14ac:dyDescent="0.3">
      <c r="A21" s="6" t="s">
        <v>20</v>
      </c>
      <c r="B21" s="3"/>
      <c r="C21" s="3">
        <v>250</v>
      </c>
      <c r="D21" s="3">
        <v>250</v>
      </c>
    </row>
    <row r="22" spans="1:4" x14ac:dyDescent="0.3">
      <c r="A22" s="6" t="s">
        <v>27</v>
      </c>
      <c r="B22" s="3"/>
      <c r="C22" s="3">
        <v>250</v>
      </c>
      <c r="D22" s="3">
        <v>250</v>
      </c>
    </row>
    <row r="23" spans="1:4" x14ac:dyDescent="0.3">
      <c r="A23" s="6" t="s">
        <v>24</v>
      </c>
      <c r="B23" s="3"/>
      <c r="C23" s="3">
        <v>250</v>
      </c>
      <c r="D23" s="3">
        <v>250</v>
      </c>
    </row>
    <row r="24" spans="1:4" x14ac:dyDescent="0.3">
      <c r="A24" s="6" t="s">
        <v>30</v>
      </c>
      <c r="B24" s="3">
        <v>250</v>
      </c>
      <c r="C24" s="3"/>
      <c r="D24" s="3">
        <v>250</v>
      </c>
    </row>
    <row r="25" spans="1:4" x14ac:dyDescent="0.3">
      <c r="A25" s="6" t="s">
        <v>33</v>
      </c>
      <c r="B25" s="3">
        <v>250</v>
      </c>
      <c r="C25" s="3"/>
      <c r="D25" s="3">
        <v>250</v>
      </c>
    </row>
    <row r="26" spans="1:4" x14ac:dyDescent="0.3">
      <c r="A26" s="6" t="s">
        <v>15</v>
      </c>
      <c r="B26" s="3"/>
      <c r="C26" s="3">
        <v>250</v>
      </c>
      <c r="D26" s="3">
        <v>250</v>
      </c>
    </row>
    <row r="27" spans="1:4" x14ac:dyDescent="0.3">
      <c r="A27" s="6" t="s">
        <v>10</v>
      </c>
      <c r="B27" s="3"/>
      <c r="C27" s="3">
        <v>250</v>
      </c>
      <c r="D27" s="3">
        <v>250</v>
      </c>
    </row>
    <row r="28" spans="1:4" x14ac:dyDescent="0.3">
      <c r="A28" s="5" t="s">
        <v>43</v>
      </c>
      <c r="B28" s="3">
        <v>1700</v>
      </c>
      <c r="C28" s="3">
        <v>3250</v>
      </c>
      <c r="D28" s="3">
        <v>4950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E5A8B-D3A5-4CC6-95C0-8ED917D3901C}">
  <sheetPr codeName="Sheet3"/>
  <dimension ref="A1:N43"/>
  <sheetViews>
    <sheetView tabSelected="1" zoomScale="87" workbookViewId="0">
      <selection activeCell="B11" sqref="B11"/>
    </sheetView>
  </sheetViews>
  <sheetFormatPr defaultRowHeight="13.8" x14ac:dyDescent="0.25"/>
  <cols>
    <col min="1" max="1" width="24.6640625" style="8" customWidth="1"/>
    <col min="2" max="2" width="24.109375" style="8" customWidth="1"/>
    <col min="3" max="3" width="20.21875" style="8" customWidth="1"/>
    <col min="4" max="13" width="8.88671875" style="8"/>
    <col min="14" max="14" width="8.88671875" style="8" customWidth="1"/>
    <col min="15" max="16384" width="8.88671875" style="8"/>
  </cols>
  <sheetData>
    <row r="1" spans="1:13" ht="17.399999999999999" x14ac:dyDescent="0.3">
      <c r="A1" s="7" t="s">
        <v>49</v>
      </c>
    </row>
    <row r="2" spans="1:13" x14ac:dyDescent="0.25">
      <c r="M2" s="9"/>
    </row>
    <row r="3" spans="1:13" s="11" customFormat="1" ht="15.6" x14ac:dyDescent="0.3">
      <c r="A3" s="10" t="s">
        <v>1</v>
      </c>
      <c r="B3" s="11" t="s">
        <v>56</v>
      </c>
    </row>
    <row r="4" spans="1:13" ht="15.6" x14ac:dyDescent="0.3">
      <c r="A4" s="12"/>
      <c r="M4" s="9"/>
    </row>
    <row r="5" spans="1:13" s="11" customFormat="1" ht="15.6" x14ac:dyDescent="0.3">
      <c r="A5" s="10" t="s">
        <v>37</v>
      </c>
      <c r="B5" s="11" t="s">
        <v>41</v>
      </c>
    </row>
    <row r="6" spans="1:13" ht="15.6" x14ac:dyDescent="0.3">
      <c r="A6" s="12"/>
      <c r="M6" s="9"/>
    </row>
    <row r="7" spans="1:13" s="15" customFormat="1" ht="15.6" x14ac:dyDescent="0.3">
      <c r="A7" s="13" t="s">
        <v>47</v>
      </c>
      <c r="B7" s="14">
        <v>123</v>
      </c>
    </row>
    <row r="8" spans="1:13" ht="15.6" x14ac:dyDescent="0.3">
      <c r="A8" s="12"/>
      <c r="M8" s="9"/>
    </row>
    <row r="9" spans="1:13" s="11" customFormat="1" ht="15.6" x14ac:dyDescent="0.3">
      <c r="A9" s="10" t="s">
        <v>48</v>
      </c>
      <c r="B9" s="27" t="s">
        <v>57</v>
      </c>
      <c r="D9" s="29" t="s">
        <v>59</v>
      </c>
      <c r="E9" s="30"/>
      <c r="F9" s="30"/>
      <c r="G9" s="30"/>
      <c r="H9" s="31"/>
    </row>
    <row r="10" spans="1:13" ht="15.6" x14ac:dyDescent="0.3">
      <c r="A10" s="12"/>
      <c r="M10" s="9"/>
    </row>
    <row r="11" spans="1:13" s="17" customFormat="1" ht="15.6" x14ac:dyDescent="0.3">
      <c r="A11" s="16" t="s">
        <v>4</v>
      </c>
      <c r="B11" s="23">
        <v>46001</v>
      </c>
      <c r="M11" s="9"/>
    </row>
    <row r="12" spans="1:13" ht="15.6" x14ac:dyDescent="0.3">
      <c r="A12" s="12"/>
      <c r="M12" s="9"/>
    </row>
    <row r="13" spans="1:13" s="17" customFormat="1" ht="15.6" x14ac:dyDescent="0.3">
      <c r="A13" s="16" t="s">
        <v>5</v>
      </c>
      <c r="B13" s="22">
        <v>46305</v>
      </c>
      <c r="M13" s="9"/>
    </row>
    <row r="14" spans="1:13" ht="15.6" x14ac:dyDescent="0.3">
      <c r="A14" s="12"/>
      <c r="M14" s="9"/>
    </row>
    <row r="15" spans="1:13" s="19" customFormat="1" ht="15.6" x14ac:dyDescent="0.3">
      <c r="A15" s="18" t="s">
        <v>54</v>
      </c>
      <c r="B15" s="19">
        <v>50</v>
      </c>
    </row>
    <row r="16" spans="1:13" ht="15.6" x14ac:dyDescent="0.3">
      <c r="A16" s="12"/>
      <c r="M16" s="9"/>
    </row>
    <row r="17" spans="1:14" s="19" customFormat="1" ht="15.6" x14ac:dyDescent="0.3">
      <c r="A17" s="18" t="s">
        <v>55</v>
      </c>
      <c r="B17" s="19">
        <v>150</v>
      </c>
    </row>
    <row r="18" spans="1:14" x14ac:dyDescent="0.25">
      <c r="M18" s="9"/>
    </row>
    <row r="19" spans="1:14" s="11" customFormat="1" ht="15.6" x14ac:dyDescent="0.3">
      <c r="A19" s="10" t="s">
        <v>2</v>
      </c>
      <c r="B19" s="11" t="s">
        <v>8</v>
      </c>
    </row>
    <row r="20" spans="1:14" x14ac:dyDescent="0.25">
      <c r="M20" s="9"/>
    </row>
    <row r="21" spans="1:14" ht="15.6" x14ac:dyDescent="0.3">
      <c r="A21" s="12" t="s">
        <v>51</v>
      </c>
      <c r="B21" s="35">
        <f>VLOOKUP(H30, CLASS, 2, TRUE)</f>
        <v>2</v>
      </c>
      <c r="D21" s="32" t="s">
        <v>58</v>
      </c>
      <c r="E21" s="30"/>
      <c r="F21" s="30"/>
      <c r="G21" s="30"/>
      <c r="H21" s="30"/>
      <c r="M21" s="9"/>
    </row>
    <row r="22" spans="1:14" x14ac:dyDescent="0.25">
      <c r="M22" s="9"/>
    </row>
    <row r="23" spans="1:14" ht="15.6" x14ac:dyDescent="0.3">
      <c r="A23" s="12" t="s">
        <v>38</v>
      </c>
      <c r="B23" s="21">
        <f>VLOOKUP(B5,Membership_Type, 2, FALSE)</f>
        <v>300</v>
      </c>
      <c r="M23" s="9"/>
    </row>
    <row r="24" spans="1:14" x14ac:dyDescent="0.25">
      <c r="M24" s="9"/>
    </row>
    <row r="25" spans="1:14" ht="15.6" x14ac:dyDescent="0.3">
      <c r="A25" s="12" t="s">
        <v>50</v>
      </c>
      <c r="B25" s="20" t="str">
        <f>VLOOKUP(H30, BMIRangee, 2, TRUE)</f>
        <v>Healthy weight</v>
      </c>
      <c r="M25" s="9"/>
    </row>
    <row r="26" spans="1:14" x14ac:dyDescent="0.25">
      <c r="M26" s="9"/>
    </row>
    <row r="27" spans="1:14" x14ac:dyDescent="0.25">
      <c r="A27" s="8" t="s">
        <v>36</v>
      </c>
      <c r="B27" s="20" t="s">
        <v>34</v>
      </c>
      <c r="M27" s="9"/>
    </row>
    <row r="28" spans="1:14" x14ac:dyDescent="0.25">
      <c r="M28" s="9"/>
    </row>
    <row r="29" spans="1:14" ht="15.6" x14ac:dyDescent="0.3">
      <c r="A29" s="10"/>
      <c r="M29" s="9"/>
    </row>
    <row r="30" spans="1:14" x14ac:dyDescent="0.25">
      <c r="G30" s="25" t="s">
        <v>3</v>
      </c>
      <c r="H30" s="25">
        <f>ROUND((B15 / ((B17/100)*(B17/100))), 2)</f>
        <v>22.22</v>
      </c>
      <c r="M30" s="9"/>
    </row>
    <row r="31" spans="1:14" x14ac:dyDescent="0.25">
      <c r="M31" s="24" t="s">
        <v>53</v>
      </c>
      <c r="N31" s="24" t="s">
        <v>6</v>
      </c>
    </row>
    <row r="32" spans="1:14" x14ac:dyDescent="0.25">
      <c r="M32" s="24">
        <v>0</v>
      </c>
      <c r="N32" s="24" t="s">
        <v>12</v>
      </c>
    </row>
    <row r="33" spans="1:14" x14ac:dyDescent="0.25">
      <c r="A33" s="25" t="s">
        <v>46</v>
      </c>
      <c r="B33" s="25" t="s">
        <v>38</v>
      </c>
      <c r="E33" s="25" t="s">
        <v>2</v>
      </c>
      <c r="L33" s="9"/>
      <c r="M33" s="24">
        <v>18.5</v>
      </c>
      <c r="N33" s="24" t="s">
        <v>9</v>
      </c>
    </row>
    <row r="34" spans="1:14" x14ac:dyDescent="0.25">
      <c r="A34" s="25" t="s">
        <v>40</v>
      </c>
      <c r="B34" s="28">
        <v>200</v>
      </c>
      <c r="E34" s="25" t="s">
        <v>8</v>
      </c>
      <c r="L34" s="9"/>
      <c r="M34" s="24">
        <v>25</v>
      </c>
      <c r="N34" s="24" t="s">
        <v>19</v>
      </c>
    </row>
    <row r="35" spans="1:14" x14ac:dyDescent="0.25">
      <c r="A35" s="25" t="s">
        <v>39</v>
      </c>
      <c r="B35" s="28">
        <v>250</v>
      </c>
      <c r="E35" s="25" t="s">
        <v>11</v>
      </c>
      <c r="L35" s="9"/>
      <c r="M35" s="24">
        <v>30</v>
      </c>
      <c r="N35" s="24" t="s">
        <v>22</v>
      </c>
    </row>
    <row r="36" spans="1:14" x14ac:dyDescent="0.25">
      <c r="A36" s="25" t="s">
        <v>41</v>
      </c>
      <c r="B36" s="28">
        <v>300</v>
      </c>
      <c r="L36" s="9"/>
      <c r="M36" s="24">
        <v>40</v>
      </c>
      <c r="N36" s="24" t="s">
        <v>52</v>
      </c>
    </row>
    <row r="38" spans="1:14" x14ac:dyDescent="0.25">
      <c r="D38" s="25" t="s">
        <v>53</v>
      </c>
      <c r="E38" s="25" t="s">
        <v>51</v>
      </c>
    </row>
    <row r="39" spans="1:14" ht="14.4" x14ac:dyDescent="0.25">
      <c r="D39" s="25">
        <v>0</v>
      </c>
      <c r="E39" s="26">
        <v>1</v>
      </c>
    </row>
    <row r="40" spans="1:14" ht="14.4" x14ac:dyDescent="0.25">
      <c r="D40" s="25">
        <v>18.5</v>
      </c>
      <c r="E40" s="26">
        <v>2</v>
      </c>
    </row>
    <row r="41" spans="1:14" ht="14.4" x14ac:dyDescent="0.25">
      <c r="D41" s="25">
        <v>25</v>
      </c>
      <c r="E41" s="26">
        <v>3</v>
      </c>
    </row>
    <row r="42" spans="1:14" ht="14.4" x14ac:dyDescent="0.25">
      <c r="D42" s="25">
        <v>30</v>
      </c>
      <c r="E42" s="26">
        <v>4</v>
      </c>
    </row>
    <row r="43" spans="1:14" ht="14.4" x14ac:dyDescent="0.25">
      <c r="D43" s="25">
        <v>40</v>
      </c>
      <c r="E43" s="26">
        <v>5</v>
      </c>
    </row>
  </sheetData>
  <dataValidations count="2">
    <dataValidation type="list" errorStyle="warning" allowBlank="1" showInputMessage="1" showErrorMessage="1" errorTitle="Membership Type not available" error="Membership Type not available. Please type valid input" promptTitle="Please enter Membership Type" sqref="B5" xr:uid="{AA025C52-57FD-4A51-9604-70D9E1B12C3B}">
      <formula1>Membership_Types</formula1>
    </dataValidation>
    <dataValidation type="list" allowBlank="1" showInputMessage="1" showErrorMessage="1" error="Please enter a valid option" prompt="Please Enter your Gender" sqref="B19" xr:uid="{13BED689-617E-4A1D-88D5-9C2CBDC8460F}">
      <formula1>Gender</formula1>
    </dataValidation>
  </dataValidations>
  <hyperlinks>
    <hyperlink ref="B9" r:id="rId1" xr:uid="{7A097883-4B94-4F7D-BC7F-1298A793DC0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CalculateMembershipEndDate">
                <anchor moveWithCells="1" sizeWithCells="1">
                  <from>
                    <xdr:col>4</xdr:col>
                    <xdr:colOff>129540</xdr:colOff>
                    <xdr:row>9</xdr:row>
                    <xdr:rowOff>53340</xdr:rowOff>
                  </from>
                  <to>
                    <xdr:col>6</xdr:col>
                    <xdr:colOff>236220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InsertIntoMembersList">
                <anchor moveWithCells="1" sizeWithCells="1">
                  <from>
                    <xdr:col>4</xdr:col>
                    <xdr:colOff>152400</xdr:colOff>
                    <xdr:row>21</xdr:row>
                    <xdr:rowOff>76200</xdr:rowOff>
                  </from>
                  <to>
                    <xdr:col>6</xdr:col>
                    <xdr:colOff>266700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MemberRecords</vt:lpstr>
      <vt:lpstr>GymRevenue</vt:lpstr>
      <vt:lpstr>MembershipForm</vt:lpstr>
      <vt:lpstr>BMIRangee</vt:lpstr>
      <vt:lpstr>BMITable</vt:lpstr>
      <vt:lpstr>CLASS</vt:lpstr>
      <vt:lpstr>Gender</vt:lpstr>
      <vt:lpstr>Membership_Type</vt:lpstr>
      <vt:lpstr>Membership_Types</vt:lpstr>
      <vt:lpstr>MembershipTypes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Anjala Saikia</dc:creator>
  <cp:lastModifiedBy>Anjala Saikia</cp:lastModifiedBy>
  <dcterms:created xsi:type="dcterms:W3CDTF">2025-01-23T22:23:11Z</dcterms:created>
  <dcterms:modified xsi:type="dcterms:W3CDTF">2025-01-24T11:50:09Z</dcterms:modified>
</cp:coreProperties>
</file>